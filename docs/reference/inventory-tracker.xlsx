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ollyspop/Downloads/"/>
    </mc:Choice>
  </mc:AlternateContent>
  <xr:revisionPtr revIDLastSave="0" documentId="8_{CA573ABA-37E1-F449-BED7-F39633FC753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ventory Tracker" sheetId="1" r:id="rId1"/>
    <sheet name="Materials Tracker" sheetId="2" r:id="rId2"/>
    <sheet name="Ingredient Tacker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28" i="1"/>
  <c r="C27" i="1"/>
  <c r="C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29" i="1" s="1"/>
</calcChain>
</file>

<file path=xl/sharedStrings.xml><?xml version="1.0" encoding="utf-8"?>
<sst xmlns="http://schemas.openxmlformats.org/spreadsheetml/2006/main" count="205" uniqueCount="113">
  <si>
    <t>Brand</t>
  </si>
  <si>
    <t>Flavor</t>
  </si>
  <si>
    <t>Current Stock</t>
  </si>
  <si>
    <t>Min Stock</t>
  </si>
  <si>
    <t>Target Stock</t>
  </si>
  <si>
    <t>Qty to Produce</t>
  </si>
  <si>
    <t>Qty to Order</t>
  </si>
  <si>
    <t>Polly's Pop</t>
  </si>
  <si>
    <t>Root Beer</t>
  </si>
  <si>
    <t>Diet Root Beer</t>
  </si>
  <si>
    <t>Cream</t>
  </si>
  <si>
    <t>Diet Cream</t>
  </si>
  <si>
    <t>Orange</t>
  </si>
  <si>
    <t>Strawberry</t>
  </si>
  <si>
    <t>Diet Orange</t>
  </si>
  <si>
    <t>Grape</t>
  </si>
  <si>
    <t>Blue Raspberry</t>
  </si>
  <si>
    <t>Diet Strawberry</t>
  </si>
  <si>
    <t>Black Cherry</t>
  </si>
  <si>
    <t>Pineapple</t>
  </si>
  <si>
    <t xml:space="preserve">Peach </t>
  </si>
  <si>
    <t>Ginger Beer</t>
  </si>
  <si>
    <t>Diet Black Cherry</t>
  </si>
  <si>
    <t>Donut</t>
  </si>
  <si>
    <t>Peach</t>
  </si>
  <si>
    <t>Pioneer</t>
  </si>
  <si>
    <t>Original</t>
  </si>
  <si>
    <t>Mixed Berry</t>
  </si>
  <si>
    <t>Lemon</t>
  </si>
  <si>
    <t>Polly-Q</t>
  </si>
  <si>
    <t>Products Needing Production</t>
  </si>
  <si>
    <t>Total Current Stock</t>
  </si>
  <si>
    <t>Total Target Stock</t>
  </si>
  <si>
    <t>Total Shortage</t>
  </si>
  <si>
    <t xml:space="preserve">Materials </t>
  </si>
  <si>
    <t>Unit Quantity</t>
  </si>
  <si>
    <t xml:space="preserve">Min Stock </t>
  </si>
  <si>
    <t>Quantity to Order</t>
  </si>
  <si>
    <t>Polly's Boxes</t>
  </si>
  <si>
    <t>Pioneer Boxes</t>
  </si>
  <si>
    <t>RB 4P</t>
  </si>
  <si>
    <t>DRB 4P</t>
  </si>
  <si>
    <t>CR 4P</t>
  </si>
  <si>
    <t>DCR 4P</t>
  </si>
  <si>
    <t>OR 4P</t>
  </si>
  <si>
    <t>DOR 4P</t>
  </si>
  <si>
    <t>ST 4P</t>
  </si>
  <si>
    <t>DST 4P</t>
  </si>
  <si>
    <t>GR 4P</t>
  </si>
  <si>
    <t>BR 4P</t>
  </si>
  <si>
    <t>BC 4P</t>
  </si>
  <si>
    <t>DBC 4P</t>
  </si>
  <si>
    <t>PI 4P</t>
  </si>
  <si>
    <t>GB 4P</t>
  </si>
  <si>
    <t>DO 4P</t>
  </si>
  <si>
    <t>PE 4P</t>
  </si>
  <si>
    <t>ORW 4P</t>
  </si>
  <si>
    <t>BCW 4P</t>
  </si>
  <si>
    <t>MBW 4P</t>
  </si>
  <si>
    <t>LEW 4P</t>
  </si>
  <si>
    <t xml:space="preserve">Dividers </t>
  </si>
  <si>
    <t>Pallet Wrap</t>
  </si>
  <si>
    <t>3inch Tape</t>
  </si>
  <si>
    <t>RB Label</t>
  </si>
  <si>
    <t>DRB Label</t>
  </si>
  <si>
    <t>CR Label</t>
  </si>
  <si>
    <t>DCR Label</t>
  </si>
  <si>
    <t>OR Label</t>
  </si>
  <si>
    <t>DOR Label</t>
  </si>
  <si>
    <t>ST Label</t>
  </si>
  <si>
    <t>DST Label</t>
  </si>
  <si>
    <t>GR Label</t>
  </si>
  <si>
    <t>BR Label</t>
  </si>
  <si>
    <t>BC Label</t>
  </si>
  <si>
    <t>DBC Label</t>
  </si>
  <si>
    <t>PI Label</t>
  </si>
  <si>
    <t>GB Label</t>
  </si>
  <si>
    <t>DO Label</t>
  </si>
  <si>
    <t>PE Label</t>
  </si>
  <si>
    <t>ORW Label</t>
  </si>
  <si>
    <t>BCW Label</t>
  </si>
  <si>
    <t>MBW Label</t>
  </si>
  <si>
    <t>LEW Label</t>
  </si>
  <si>
    <t>RBPQ Label</t>
  </si>
  <si>
    <t>n/a</t>
  </si>
  <si>
    <t>PIPQ Label</t>
  </si>
  <si>
    <t>PEPQ Label</t>
  </si>
  <si>
    <t>Caps</t>
  </si>
  <si>
    <t>Flint Bottles</t>
  </si>
  <si>
    <t>Green Bottles</t>
  </si>
  <si>
    <t xml:space="preserve">Gloves </t>
  </si>
  <si>
    <t>I-Tech Module</t>
  </si>
  <si>
    <t>Black Ink</t>
  </si>
  <si>
    <t>Make-up Cartridge</t>
  </si>
  <si>
    <t>Printer Wash</t>
  </si>
  <si>
    <t>Ingredient</t>
  </si>
  <si>
    <t>Citric</t>
  </si>
  <si>
    <t>Sodium</t>
  </si>
  <si>
    <t>Malic</t>
  </si>
  <si>
    <t>Potassium</t>
  </si>
  <si>
    <t>Sugar</t>
  </si>
  <si>
    <t>Diet Sweetener</t>
  </si>
  <si>
    <t xml:space="preserve">Current Stock </t>
  </si>
  <si>
    <t xml:space="preserve"> </t>
  </si>
  <si>
    <t>diamond bowl</t>
  </si>
  <si>
    <t>the russell</t>
  </si>
  <si>
    <t>kc bier</t>
  </si>
  <si>
    <t>kc soda</t>
  </si>
  <si>
    <t>Meat Mitch</t>
  </si>
  <si>
    <t xml:space="preserve">Brand </t>
  </si>
  <si>
    <t xml:space="preserve">Flavor </t>
  </si>
  <si>
    <t xml:space="preserve">Quantity </t>
  </si>
  <si>
    <t xml:space="preserve">Quantity After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</si>
</sst>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3" fontId="2" fillId="0" borderId="0" xfId="0" applyNumberFormat="1" applyFont="1"/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tabSelected="1" workbookViewId="0"/>
  </sheetViews>
  <sheetFormatPr baseColWidth="10" defaultColWidth="12.6640625" defaultRowHeight="15.75" customHeight="1"/>
  <cols>
    <col min="2" max="2" width="16.6640625" customWidth="1"/>
    <col min="3" max="3" width="13.83203125" customWidth="1"/>
    <col min="6" max="6" width="15.1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6</v>
      </c>
    </row>
    <row r="2" spans="1:12" ht="15.75" customHeight="1">
      <c r="A2" s="3" t="s">
        <v>7</v>
      </c>
      <c r="B2" s="3" t="s">
        <v>8</v>
      </c>
      <c r="C2" s="4">
        <v>10</v>
      </c>
      <c r="D2" s="5">
        <v>40</v>
      </c>
      <c r="E2" s="5">
        <v>160</v>
      </c>
      <c r="F2" s="6">
        <f t="shared" ref="F2:F24" si="0">IF(C2:C24&lt;D2:D24,E2:E24-C2:C24,0)</f>
        <v>150</v>
      </c>
      <c r="H2" s="2" t="s">
        <v>8</v>
      </c>
      <c r="I2" s="2">
        <v>1</v>
      </c>
    </row>
    <row r="3" spans="1:12" ht="15.75" customHeight="1">
      <c r="A3" s="3" t="s">
        <v>7</v>
      </c>
      <c r="B3" s="3" t="s">
        <v>9</v>
      </c>
      <c r="C3" s="4">
        <v>7</v>
      </c>
      <c r="D3" s="5">
        <v>20</v>
      </c>
      <c r="E3" s="5">
        <v>40</v>
      </c>
      <c r="F3" s="6">
        <f t="shared" si="0"/>
        <v>33</v>
      </c>
      <c r="H3" s="2" t="s">
        <v>9</v>
      </c>
      <c r="I3" s="2">
        <v>7</v>
      </c>
    </row>
    <row r="4" spans="1:12" ht="15.75" customHeight="1">
      <c r="A4" s="3" t="s">
        <v>7</v>
      </c>
      <c r="B4" s="3" t="s">
        <v>10</v>
      </c>
      <c r="C4" s="4">
        <v>-13</v>
      </c>
      <c r="D4" s="5">
        <v>40</v>
      </c>
      <c r="E4" s="5">
        <v>160</v>
      </c>
      <c r="F4" s="6">
        <f t="shared" si="0"/>
        <v>173</v>
      </c>
      <c r="H4" s="2" t="s">
        <v>10</v>
      </c>
      <c r="I4" s="2">
        <v>1</v>
      </c>
    </row>
    <row r="5" spans="1:12" ht="15.75" customHeight="1">
      <c r="A5" s="3" t="s">
        <v>7</v>
      </c>
      <c r="B5" s="3" t="s">
        <v>11</v>
      </c>
      <c r="C5" s="4">
        <v>-1</v>
      </c>
      <c r="D5" s="5">
        <v>20</v>
      </c>
      <c r="E5" s="5">
        <v>40</v>
      </c>
      <c r="F5" s="6">
        <f t="shared" si="0"/>
        <v>41</v>
      </c>
      <c r="H5" s="2" t="s">
        <v>12</v>
      </c>
      <c r="I5" s="2">
        <v>3</v>
      </c>
    </row>
    <row r="6" spans="1:12" ht="15.75" customHeight="1">
      <c r="A6" s="3" t="s">
        <v>7</v>
      </c>
      <c r="B6" s="3" t="s">
        <v>12</v>
      </c>
      <c r="C6" s="4">
        <v>14</v>
      </c>
      <c r="D6" s="5">
        <v>40</v>
      </c>
      <c r="E6" s="5">
        <v>160</v>
      </c>
      <c r="F6" s="6">
        <f t="shared" si="0"/>
        <v>146</v>
      </c>
      <c r="H6" s="2" t="s">
        <v>13</v>
      </c>
      <c r="I6" s="2">
        <v>5</v>
      </c>
    </row>
    <row r="7" spans="1:12" ht="15.75" customHeight="1">
      <c r="A7" s="3" t="s">
        <v>7</v>
      </c>
      <c r="B7" s="3" t="s">
        <v>14</v>
      </c>
      <c r="C7" s="4">
        <v>1</v>
      </c>
      <c r="D7" s="4">
        <v>20</v>
      </c>
      <c r="E7" s="5">
        <v>40</v>
      </c>
      <c r="F7" s="6">
        <f t="shared" si="0"/>
        <v>39</v>
      </c>
      <c r="H7" s="2" t="s">
        <v>15</v>
      </c>
      <c r="I7" s="2">
        <v>9</v>
      </c>
    </row>
    <row r="8" spans="1:12" ht="15.75" customHeight="1">
      <c r="A8" s="3" t="s">
        <v>7</v>
      </c>
      <c r="B8" s="3" t="s">
        <v>13</v>
      </c>
      <c r="C8" s="4">
        <v>18</v>
      </c>
      <c r="D8" s="5">
        <v>40</v>
      </c>
      <c r="E8" s="5">
        <v>160</v>
      </c>
      <c r="F8" s="6">
        <f t="shared" si="0"/>
        <v>142</v>
      </c>
      <c r="H8" s="2" t="s">
        <v>16</v>
      </c>
      <c r="I8" s="2">
        <v>6</v>
      </c>
    </row>
    <row r="9" spans="1:12" ht="15.75" customHeight="1">
      <c r="A9" s="3" t="s">
        <v>7</v>
      </c>
      <c r="B9" s="3" t="s">
        <v>17</v>
      </c>
      <c r="C9" s="4">
        <v>1</v>
      </c>
      <c r="D9" s="5">
        <v>20</v>
      </c>
      <c r="E9" s="5">
        <v>40</v>
      </c>
      <c r="F9" s="6">
        <f t="shared" si="0"/>
        <v>39</v>
      </c>
      <c r="H9" s="2" t="s">
        <v>18</v>
      </c>
      <c r="I9" s="2">
        <v>6</v>
      </c>
    </row>
    <row r="10" spans="1:12" ht="15.75" customHeight="1">
      <c r="A10" s="3" t="s">
        <v>7</v>
      </c>
      <c r="B10" s="3" t="s">
        <v>15</v>
      </c>
      <c r="C10" s="4">
        <v>25</v>
      </c>
      <c r="D10" s="5">
        <v>25</v>
      </c>
      <c r="E10" s="5">
        <v>80</v>
      </c>
      <c r="F10" s="6">
        <f t="shared" si="0"/>
        <v>0</v>
      </c>
      <c r="H10" s="2" t="s">
        <v>19</v>
      </c>
      <c r="I10" s="2">
        <v>7</v>
      </c>
    </row>
    <row r="11" spans="1:12" ht="15.75" customHeight="1">
      <c r="A11" s="3" t="s">
        <v>7</v>
      </c>
      <c r="B11" s="3" t="s">
        <v>16</v>
      </c>
      <c r="C11" s="4">
        <v>25</v>
      </c>
      <c r="D11" s="5">
        <v>30</v>
      </c>
      <c r="E11" s="5">
        <v>80</v>
      </c>
      <c r="F11" s="6">
        <f t="shared" si="0"/>
        <v>55</v>
      </c>
      <c r="H11" s="2" t="s">
        <v>20</v>
      </c>
      <c r="I11" s="2">
        <v>3</v>
      </c>
    </row>
    <row r="12" spans="1:12" ht="15.75" customHeight="1">
      <c r="A12" s="3" t="s">
        <v>7</v>
      </c>
      <c r="B12" s="3" t="s">
        <v>18</v>
      </c>
      <c r="C12" s="4">
        <v>59</v>
      </c>
      <c r="D12" s="5">
        <v>25</v>
      </c>
      <c r="E12" s="5">
        <v>80</v>
      </c>
      <c r="F12" s="6">
        <f t="shared" si="0"/>
        <v>0</v>
      </c>
      <c r="H12" s="2" t="s">
        <v>21</v>
      </c>
      <c r="I12" s="2">
        <v>1</v>
      </c>
    </row>
    <row r="13" spans="1:12" ht="15.75" customHeight="1">
      <c r="A13" s="3" t="s">
        <v>7</v>
      </c>
      <c r="B13" s="3" t="s">
        <v>22</v>
      </c>
      <c r="C13" s="4">
        <v>14</v>
      </c>
      <c r="D13" s="5">
        <v>20</v>
      </c>
      <c r="E13" s="5">
        <v>40</v>
      </c>
      <c r="F13" s="6">
        <f t="shared" si="0"/>
        <v>26</v>
      </c>
    </row>
    <row r="14" spans="1:12" ht="15.75" customHeight="1">
      <c r="A14" s="3" t="s">
        <v>7</v>
      </c>
      <c r="B14" s="3" t="s">
        <v>19</v>
      </c>
      <c r="C14" s="4">
        <v>17</v>
      </c>
      <c r="D14" s="5">
        <v>25</v>
      </c>
      <c r="E14" s="5">
        <v>80</v>
      </c>
      <c r="F14" s="6">
        <f t="shared" si="0"/>
        <v>63</v>
      </c>
    </row>
    <row r="15" spans="1:12" ht="15.75" customHeight="1">
      <c r="A15" s="3" t="s">
        <v>7</v>
      </c>
      <c r="B15" s="3" t="s">
        <v>21</v>
      </c>
      <c r="C15" s="4">
        <v>-1</v>
      </c>
      <c r="D15" s="5">
        <v>10</v>
      </c>
      <c r="E15" s="5">
        <v>25</v>
      </c>
      <c r="F15" s="6">
        <f t="shared" si="0"/>
        <v>26</v>
      </c>
    </row>
    <row r="16" spans="1:12" ht="15.75" customHeight="1">
      <c r="A16" s="3" t="s">
        <v>7</v>
      </c>
      <c r="B16" s="3" t="s">
        <v>23</v>
      </c>
      <c r="C16" s="4">
        <v>13</v>
      </c>
      <c r="D16" s="5">
        <v>10</v>
      </c>
      <c r="E16" s="5">
        <v>25</v>
      </c>
      <c r="F16" s="6">
        <f t="shared" si="0"/>
        <v>0</v>
      </c>
    </row>
    <row r="17" spans="1:6" ht="15.75" customHeight="1">
      <c r="A17" s="3" t="s">
        <v>7</v>
      </c>
      <c r="B17" s="3" t="s">
        <v>24</v>
      </c>
      <c r="C17" s="4">
        <v>2</v>
      </c>
      <c r="D17" s="5">
        <v>20</v>
      </c>
      <c r="E17" s="5">
        <v>40</v>
      </c>
      <c r="F17" s="6">
        <f t="shared" si="0"/>
        <v>38</v>
      </c>
    </row>
    <row r="18" spans="1:6" ht="15.75" customHeight="1">
      <c r="A18" s="3" t="s">
        <v>25</v>
      </c>
      <c r="B18" s="3" t="s">
        <v>26</v>
      </c>
      <c r="C18" s="4">
        <v>30</v>
      </c>
      <c r="D18" s="5">
        <v>20</v>
      </c>
      <c r="E18" s="5">
        <v>80</v>
      </c>
      <c r="F18" s="6">
        <f t="shared" si="0"/>
        <v>0</v>
      </c>
    </row>
    <row r="19" spans="1:6" ht="15.75" customHeight="1">
      <c r="A19" s="3" t="s">
        <v>25</v>
      </c>
      <c r="B19" s="3" t="s">
        <v>18</v>
      </c>
      <c r="C19" s="4">
        <v>3</v>
      </c>
      <c r="D19" s="5">
        <v>20</v>
      </c>
      <c r="E19" s="5">
        <v>80</v>
      </c>
      <c r="F19" s="6">
        <f t="shared" si="0"/>
        <v>77</v>
      </c>
    </row>
    <row r="20" spans="1:6" ht="15.75" customHeight="1">
      <c r="A20" s="3" t="s">
        <v>25</v>
      </c>
      <c r="B20" s="3" t="s">
        <v>27</v>
      </c>
      <c r="C20" s="4">
        <v>16</v>
      </c>
      <c r="D20" s="4">
        <v>20</v>
      </c>
      <c r="E20" s="5">
        <v>80</v>
      </c>
      <c r="F20" s="6">
        <f t="shared" si="0"/>
        <v>64</v>
      </c>
    </row>
    <row r="21" spans="1:6" ht="15.75" customHeight="1">
      <c r="A21" s="3" t="s">
        <v>25</v>
      </c>
      <c r="B21" s="3" t="s">
        <v>28</v>
      </c>
      <c r="C21" s="4">
        <v>30</v>
      </c>
      <c r="D21" s="5">
        <v>20</v>
      </c>
      <c r="E21" s="5">
        <v>80</v>
      </c>
      <c r="F21" s="6">
        <f t="shared" si="0"/>
        <v>0</v>
      </c>
    </row>
    <row r="22" spans="1:6" ht="15.75" customHeight="1">
      <c r="A22" s="3" t="s">
        <v>29</v>
      </c>
      <c r="B22" s="3" t="s">
        <v>8</v>
      </c>
      <c r="C22" s="5">
        <v>132</v>
      </c>
      <c r="D22" s="5">
        <v>25</v>
      </c>
      <c r="E22" s="5">
        <v>100</v>
      </c>
      <c r="F22" s="6">
        <f t="shared" si="0"/>
        <v>0</v>
      </c>
    </row>
    <row r="23" spans="1:6" ht="15.75" customHeight="1">
      <c r="A23" s="3" t="s">
        <v>29</v>
      </c>
      <c r="B23" s="3" t="s">
        <v>19</v>
      </c>
      <c r="C23" s="5">
        <v>122</v>
      </c>
      <c r="D23" s="5">
        <v>25</v>
      </c>
      <c r="E23" s="5">
        <v>100</v>
      </c>
      <c r="F23" s="6">
        <f t="shared" si="0"/>
        <v>0</v>
      </c>
    </row>
    <row r="24" spans="1:6" ht="15.75" customHeight="1">
      <c r="A24" s="3" t="s">
        <v>29</v>
      </c>
      <c r="B24" s="3" t="s">
        <v>24</v>
      </c>
      <c r="C24" s="5">
        <v>132</v>
      </c>
      <c r="D24" s="5">
        <v>25</v>
      </c>
      <c r="E24" s="5">
        <v>100</v>
      </c>
      <c r="F24" s="6">
        <f t="shared" si="0"/>
        <v>0</v>
      </c>
    </row>
    <row r="26" spans="1:6" ht="15.75" customHeight="1">
      <c r="A26" s="2" t="s">
        <v>30</v>
      </c>
      <c r="C26" s="2">
        <f>COUNTIF(F2:F24,"&gt;0")</f>
        <v>15</v>
      </c>
    </row>
    <row r="27" spans="1:6" ht="15.75" customHeight="1">
      <c r="A27" s="2" t="s">
        <v>31</v>
      </c>
      <c r="C27" s="2">
        <f>SUM(C1:C24)</f>
        <v>656</v>
      </c>
    </row>
    <row r="28" spans="1:6" ht="15.75" customHeight="1">
      <c r="A28" s="2" t="s">
        <v>32</v>
      </c>
      <c r="C28" s="2">
        <f>SUM(E2:E24)</f>
        <v>1870</v>
      </c>
    </row>
    <row r="29" spans="1:6" ht="15.75" customHeight="1">
      <c r="A29" s="2" t="s">
        <v>33</v>
      </c>
      <c r="C29" s="2">
        <f>SUM(F2:F24)</f>
        <v>1112</v>
      </c>
    </row>
  </sheetData>
  <conditionalFormatting sqref="C2:F24">
    <cfRule type="expression" dxfId="8" priority="1">
      <formula>$C2&lt;$D2</formula>
    </cfRule>
    <cfRule type="expression" dxfId="7" priority="2">
      <formula>AND($C2&gt;=$D2,$C2&lt;$E2)</formula>
    </cfRule>
    <cfRule type="expression" dxfId="6" priority="3">
      <formula>$C2&gt;=$E2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"/>
  <sheetViews>
    <sheetView workbookViewId="0"/>
  </sheetViews>
  <sheetFormatPr baseColWidth="10" defaultColWidth="12.6640625" defaultRowHeight="15.75" customHeight="1"/>
  <cols>
    <col min="1" max="1" width="14.83203125" customWidth="1"/>
    <col min="6" max="6" width="16.5" customWidth="1"/>
  </cols>
  <sheetData>
    <row r="1" spans="1:6" ht="15.75" customHeight="1">
      <c r="A1" s="7" t="s">
        <v>34</v>
      </c>
      <c r="B1" s="7" t="s">
        <v>35</v>
      </c>
      <c r="C1" s="7" t="s">
        <v>2</v>
      </c>
      <c r="D1" s="7" t="s">
        <v>36</v>
      </c>
      <c r="E1" s="7" t="s">
        <v>4</v>
      </c>
      <c r="F1" s="7" t="s">
        <v>37</v>
      </c>
    </row>
    <row r="2" spans="1:6" ht="15.75" customHeight="1">
      <c r="A2" s="2" t="s">
        <v>38</v>
      </c>
      <c r="B2" s="2">
        <v>500</v>
      </c>
      <c r="D2" s="2">
        <v>1500</v>
      </c>
      <c r="E2" s="2">
        <v>4000</v>
      </c>
    </row>
    <row r="3" spans="1:6" ht="15.75" customHeight="1">
      <c r="A3" s="2" t="s">
        <v>39</v>
      </c>
      <c r="B3" s="2">
        <v>500</v>
      </c>
      <c r="D3" s="2">
        <v>1000</v>
      </c>
      <c r="E3" s="2">
        <v>2000</v>
      </c>
    </row>
    <row r="4" spans="1:6" ht="15.75" customHeight="1">
      <c r="A4" s="2" t="s">
        <v>40</v>
      </c>
      <c r="B4" s="2">
        <v>185</v>
      </c>
      <c r="D4" s="2">
        <v>5000</v>
      </c>
    </row>
    <row r="5" spans="1:6" ht="15.75" customHeight="1">
      <c r="A5" s="2" t="s">
        <v>41</v>
      </c>
      <c r="B5" s="2">
        <v>185</v>
      </c>
      <c r="D5" s="2">
        <v>1000</v>
      </c>
    </row>
    <row r="6" spans="1:6" ht="15.75" customHeight="1">
      <c r="A6" s="2" t="s">
        <v>42</v>
      </c>
      <c r="B6" s="2">
        <v>185</v>
      </c>
      <c r="D6" s="2">
        <v>5000</v>
      </c>
    </row>
    <row r="7" spans="1:6" ht="15.75" customHeight="1">
      <c r="A7" s="2" t="s">
        <v>43</v>
      </c>
      <c r="B7" s="2">
        <v>185</v>
      </c>
      <c r="D7" s="2">
        <v>1000</v>
      </c>
    </row>
    <row r="8" spans="1:6" ht="15.75" customHeight="1">
      <c r="A8" s="2" t="s">
        <v>44</v>
      </c>
      <c r="B8" s="2">
        <v>185</v>
      </c>
      <c r="D8" s="2">
        <v>5000</v>
      </c>
    </row>
    <row r="9" spans="1:6" ht="15.75" customHeight="1">
      <c r="A9" s="2" t="s">
        <v>45</v>
      </c>
      <c r="B9" s="2">
        <v>185</v>
      </c>
      <c r="D9" s="2">
        <v>1000</v>
      </c>
    </row>
    <row r="10" spans="1:6" ht="15.75" customHeight="1">
      <c r="A10" s="2" t="s">
        <v>46</v>
      </c>
      <c r="B10" s="2">
        <v>185</v>
      </c>
      <c r="D10" s="2">
        <v>5000</v>
      </c>
    </row>
    <row r="11" spans="1:6" ht="15.75" customHeight="1">
      <c r="A11" s="2" t="s">
        <v>47</v>
      </c>
      <c r="B11" s="2">
        <v>185</v>
      </c>
      <c r="D11" s="2">
        <v>1000</v>
      </c>
    </row>
    <row r="12" spans="1:6" ht="15.75" customHeight="1">
      <c r="A12" s="2" t="s">
        <v>48</v>
      </c>
      <c r="B12" s="2">
        <v>185</v>
      </c>
      <c r="D12" s="2">
        <v>3000</v>
      </c>
    </row>
    <row r="13" spans="1:6" ht="15.75" customHeight="1">
      <c r="A13" s="2" t="s">
        <v>49</v>
      </c>
      <c r="B13" s="2">
        <v>185</v>
      </c>
      <c r="D13" s="2">
        <v>3000</v>
      </c>
    </row>
    <row r="14" spans="1:6" ht="15.75" customHeight="1">
      <c r="A14" s="2" t="s">
        <v>50</v>
      </c>
      <c r="B14" s="2">
        <v>185</v>
      </c>
      <c r="D14" s="2">
        <v>3000</v>
      </c>
    </row>
    <row r="15" spans="1:6" ht="15.75" customHeight="1">
      <c r="A15" s="2" t="s">
        <v>51</v>
      </c>
      <c r="B15" s="2">
        <v>185</v>
      </c>
      <c r="D15" s="2">
        <v>1000</v>
      </c>
    </row>
    <row r="16" spans="1:6" ht="15.75" customHeight="1">
      <c r="A16" s="2" t="s">
        <v>52</v>
      </c>
      <c r="B16" s="2">
        <v>185</v>
      </c>
      <c r="D16" s="2">
        <v>2000</v>
      </c>
    </row>
    <row r="17" spans="1:4" ht="15.75" customHeight="1">
      <c r="A17" s="2" t="s">
        <v>53</v>
      </c>
      <c r="B17" s="2">
        <v>185</v>
      </c>
      <c r="D17" s="2">
        <v>500</v>
      </c>
    </row>
    <row r="18" spans="1:4" ht="15.75" customHeight="1">
      <c r="A18" s="2" t="s">
        <v>54</v>
      </c>
      <c r="B18" s="2">
        <v>185</v>
      </c>
      <c r="D18" s="2">
        <v>500</v>
      </c>
    </row>
    <row r="19" spans="1:4" ht="15.75" customHeight="1">
      <c r="A19" s="2" t="s">
        <v>55</v>
      </c>
      <c r="B19" s="2">
        <v>185</v>
      </c>
      <c r="D19" s="2">
        <v>1000</v>
      </c>
    </row>
    <row r="20" spans="1:4" ht="15.75" customHeight="1">
      <c r="A20" s="2" t="s">
        <v>56</v>
      </c>
      <c r="B20" s="2">
        <v>185</v>
      </c>
      <c r="D20" s="2">
        <v>3000</v>
      </c>
    </row>
    <row r="21" spans="1:4" ht="15.75" customHeight="1">
      <c r="A21" s="2" t="s">
        <v>57</v>
      </c>
      <c r="B21" s="2">
        <v>185</v>
      </c>
      <c r="D21" s="2">
        <v>3000</v>
      </c>
    </row>
    <row r="22" spans="1:4" ht="15.75" customHeight="1">
      <c r="A22" s="2" t="s">
        <v>58</v>
      </c>
      <c r="B22" s="2">
        <v>185</v>
      </c>
      <c r="D22" s="2">
        <v>3000</v>
      </c>
    </row>
    <row r="23" spans="1:4" ht="15.75" customHeight="1">
      <c r="A23" s="2" t="s">
        <v>59</v>
      </c>
      <c r="B23" s="2">
        <v>185</v>
      </c>
      <c r="D23" s="2">
        <v>3000</v>
      </c>
    </row>
    <row r="24" spans="1:4" ht="15.75" customHeight="1">
      <c r="A24" s="2" t="s">
        <v>60</v>
      </c>
    </row>
    <row r="25" spans="1:4" ht="15.75" customHeight="1">
      <c r="A25" s="2" t="s">
        <v>61</v>
      </c>
      <c r="B25" s="2">
        <v>4</v>
      </c>
    </row>
    <row r="26" spans="1:4" ht="15.75" customHeight="1">
      <c r="A26" s="2" t="s">
        <v>62</v>
      </c>
      <c r="B26" s="2">
        <v>24</v>
      </c>
      <c r="D26" s="2">
        <v>12</v>
      </c>
    </row>
    <row r="27" spans="1:4" ht="15.75" customHeight="1">
      <c r="A27" s="2" t="s">
        <v>63</v>
      </c>
      <c r="B27" s="2">
        <v>3000</v>
      </c>
      <c r="D27" s="2">
        <v>6000</v>
      </c>
    </row>
    <row r="28" spans="1:4" ht="15.75" customHeight="1">
      <c r="A28" s="2" t="s">
        <v>64</v>
      </c>
      <c r="B28" s="2">
        <v>3000</v>
      </c>
      <c r="D28" s="2">
        <v>3000</v>
      </c>
    </row>
    <row r="29" spans="1:4" ht="15.75" customHeight="1">
      <c r="A29" s="2" t="s">
        <v>65</v>
      </c>
      <c r="B29" s="2">
        <v>3000</v>
      </c>
      <c r="D29" s="2">
        <v>6000</v>
      </c>
    </row>
    <row r="30" spans="1:4" ht="15.75" customHeight="1">
      <c r="A30" s="2" t="s">
        <v>66</v>
      </c>
      <c r="B30" s="2">
        <v>3000</v>
      </c>
      <c r="D30" s="2">
        <v>3000</v>
      </c>
    </row>
    <row r="31" spans="1:4" ht="15.75" customHeight="1">
      <c r="A31" s="2" t="s">
        <v>67</v>
      </c>
      <c r="B31" s="2">
        <v>3000</v>
      </c>
      <c r="D31" s="2">
        <v>6000</v>
      </c>
    </row>
    <row r="32" spans="1:4" ht="15.75" customHeight="1">
      <c r="A32" s="2" t="s">
        <v>68</v>
      </c>
      <c r="B32" s="2">
        <v>3000</v>
      </c>
      <c r="D32" s="2">
        <v>3000</v>
      </c>
    </row>
    <row r="33" spans="1:4" ht="15.75" customHeight="1">
      <c r="A33" s="2" t="s">
        <v>69</v>
      </c>
      <c r="B33" s="2">
        <v>3000</v>
      </c>
      <c r="D33" s="2">
        <v>6000</v>
      </c>
    </row>
    <row r="34" spans="1:4" ht="15.75" customHeight="1">
      <c r="A34" s="2" t="s">
        <v>70</v>
      </c>
      <c r="B34" s="2">
        <v>3000</v>
      </c>
      <c r="D34" s="2">
        <v>3000</v>
      </c>
    </row>
    <row r="35" spans="1:4" ht="15.75" customHeight="1">
      <c r="A35" s="2" t="s">
        <v>71</v>
      </c>
      <c r="B35" s="2">
        <v>3000</v>
      </c>
      <c r="D35" s="2">
        <v>6000</v>
      </c>
    </row>
    <row r="36" spans="1:4" ht="15.75" customHeight="1">
      <c r="A36" s="2" t="s">
        <v>72</v>
      </c>
      <c r="B36" s="2">
        <v>3000</v>
      </c>
      <c r="D36" s="2">
        <v>6000</v>
      </c>
    </row>
    <row r="37" spans="1:4" ht="15.75" customHeight="1">
      <c r="A37" s="2" t="s">
        <v>73</v>
      </c>
      <c r="B37" s="2">
        <v>3000</v>
      </c>
      <c r="D37" s="2">
        <v>6000</v>
      </c>
    </row>
    <row r="38" spans="1:4" ht="15.75" customHeight="1">
      <c r="A38" s="2" t="s">
        <v>74</v>
      </c>
      <c r="B38" s="2">
        <v>3000</v>
      </c>
      <c r="D38" s="2">
        <v>3000</v>
      </c>
    </row>
    <row r="39" spans="1:4" ht="15.75" customHeight="1">
      <c r="A39" s="2" t="s">
        <v>75</v>
      </c>
      <c r="B39" s="2">
        <v>3000</v>
      </c>
      <c r="D39" s="2">
        <v>3000</v>
      </c>
    </row>
    <row r="40" spans="1:4" ht="15.75" customHeight="1">
      <c r="A40" s="2" t="s">
        <v>76</v>
      </c>
      <c r="B40" s="2">
        <v>3000</v>
      </c>
      <c r="D40" s="2">
        <v>1500</v>
      </c>
    </row>
    <row r="41" spans="1:4" ht="15.75" customHeight="1">
      <c r="A41" s="2" t="s">
        <v>77</v>
      </c>
      <c r="B41" s="2">
        <v>3000</v>
      </c>
      <c r="D41" s="2">
        <v>1500</v>
      </c>
    </row>
    <row r="42" spans="1:4" ht="15.75" customHeight="1">
      <c r="A42" s="2" t="s">
        <v>78</v>
      </c>
      <c r="B42" s="2">
        <v>3000</v>
      </c>
      <c r="D42" s="2">
        <v>3000</v>
      </c>
    </row>
    <row r="43" spans="1:4" ht="15.75" customHeight="1">
      <c r="A43" s="2" t="s">
        <v>79</v>
      </c>
      <c r="B43" s="2">
        <v>3000</v>
      </c>
      <c r="D43" s="2">
        <v>6000</v>
      </c>
    </row>
    <row r="44" spans="1:4" ht="15.75" customHeight="1">
      <c r="A44" s="2" t="s">
        <v>80</v>
      </c>
      <c r="B44" s="2">
        <v>3000</v>
      </c>
      <c r="D44" s="2">
        <v>6000</v>
      </c>
    </row>
    <row r="45" spans="1:4" ht="15.75" customHeight="1">
      <c r="A45" s="2" t="s">
        <v>81</v>
      </c>
      <c r="B45" s="2">
        <v>3000</v>
      </c>
      <c r="D45" s="2">
        <v>6000</v>
      </c>
    </row>
    <row r="46" spans="1:4" ht="15.75" customHeight="1">
      <c r="A46" s="2" t="s">
        <v>82</v>
      </c>
      <c r="B46" s="2">
        <v>3000</v>
      </c>
      <c r="D46" s="2">
        <v>6000</v>
      </c>
    </row>
    <row r="47" spans="1:4" ht="15.75" customHeight="1">
      <c r="A47" s="2" t="s">
        <v>83</v>
      </c>
      <c r="B47" s="2">
        <v>3000</v>
      </c>
      <c r="D47" s="2" t="s">
        <v>84</v>
      </c>
    </row>
    <row r="48" spans="1:4" ht="15.75" customHeight="1">
      <c r="A48" s="2" t="s">
        <v>85</v>
      </c>
      <c r="B48" s="2">
        <v>3000</v>
      </c>
      <c r="D48" s="2" t="s">
        <v>84</v>
      </c>
    </row>
    <row r="49" spans="1:4" ht="15.75" customHeight="1">
      <c r="A49" s="2" t="s">
        <v>86</v>
      </c>
      <c r="B49" s="2">
        <v>3000</v>
      </c>
      <c r="D49" s="2" t="s">
        <v>84</v>
      </c>
    </row>
    <row r="50" spans="1:4" ht="15.75" customHeight="1">
      <c r="A50" s="2" t="s">
        <v>87</v>
      </c>
      <c r="B50" s="8">
        <v>10000</v>
      </c>
      <c r="D50" s="8">
        <v>100000</v>
      </c>
    </row>
    <row r="51" spans="1:4" ht="15.75" customHeight="1">
      <c r="A51" s="2" t="s">
        <v>88</v>
      </c>
      <c r="B51" s="2">
        <v>2250</v>
      </c>
    </row>
    <row r="52" spans="1:4" ht="15.75" customHeight="1">
      <c r="A52" s="2" t="s">
        <v>89</v>
      </c>
    </row>
    <row r="53" spans="1:4" ht="13">
      <c r="A53" s="2" t="s">
        <v>90</v>
      </c>
    </row>
    <row r="54" spans="1:4" ht="13">
      <c r="A54" s="2" t="s">
        <v>91</v>
      </c>
      <c r="B54" s="2">
        <v>1</v>
      </c>
    </row>
    <row r="55" spans="1:4" ht="13">
      <c r="A55" s="2" t="s">
        <v>92</v>
      </c>
      <c r="B55" s="2">
        <v>4</v>
      </c>
    </row>
    <row r="56" spans="1:4" ht="13">
      <c r="A56" s="2" t="s">
        <v>93</v>
      </c>
      <c r="B56" s="2">
        <v>1</v>
      </c>
    </row>
    <row r="57" spans="1:4" ht="13">
      <c r="A57" s="2" t="s">
        <v>94</v>
      </c>
      <c r="B57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3"/>
  <sheetViews>
    <sheetView workbookViewId="0"/>
  </sheetViews>
  <sheetFormatPr baseColWidth="10" defaultColWidth="12.6640625" defaultRowHeight="15.75" customHeight="1"/>
  <sheetData>
    <row r="1" spans="1:5" ht="15.75" customHeight="1">
      <c r="A1" s="7" t="s">
        <v>95</v>
      </c>
      <c r="B1" s="7" t="s">
        <v>2</v>
      </c>
      <c r="C1" s="7" t="s">
        <v>3</v>
      </c>
      <c r="D1" s="7" t="s">
        <v>4</v>
      </c>
      <c r="E1" s="7" t="s">
        <v>6</v>
      </c>
    </row>
    <row r="2" spans="1:5" ht="15.75" customHeight="1">
      <c r="A2" s="2" t="s">
        <v>96</v>
      </c>
    </row>
    <row r="3" spans="1:5" ht="15.75" customHeight="1">
      <c r="A3" s="2" t="s">
        <v>97</v>
      </c>
    </row>
    <row r="4" spans="1:5" ht="15.75" customHeight="1">
      <c r="A4" s="2" t="s">
        <v>98</v>
      </c>
    </row>
    <row r="5" spans="1:5" ht="15.75" customHeight="1">
      <c r="A5" s="2" t="s">
        <v>99</v>
      </c>
    </row>
    <row r="6" spans="1:5" ht="15.75" customHeight="1">
      <c r="A6" s="2" t="s">
        <v>100</v>
      </c>
    </row>
    <row r="7" spans="1:5" ht="15.75" customHeight="1">
      <c r="A7" s="2" t="s">
        <v>101</v>
      </c>
    </row>
    <row r="8" spans="1:5" ht="15.75" customHeight="1">
      <c r="A8" s="9">
        <v>6.3010000000000002</v>
      </c>
      <c r="B8" s="2">
        <v>4</v>
      </c>
    </row>
    <row r="9" spans="1:5" ht="15.75" customHeight="1">
      <c r="A9" s="9">
        <v>6.9085999999999999</v>
      </c>
      <c r="B9" s="2">
        <v>4</v>
      </c>
    </row>
    <row r="10" spans="1:5" ht="15.75" customHeight="1">
      <c r="A10" s="9">
        <v>10.047000000000001</v>
      </c>
      <c r="B10" s="2">
        <v>3</v>
      </c>
    </row>
    <row r="11" spans="1:5" ht="15.75" customHeight="1">
      <c r="A11" s="9">
        <v>15.101000000000001</v>
      </c>
      <c r="B11" s="2">
        <v>8</v>
      </c>
    </row>
    <row r="12" spans="1:5" ht="15.75" customHeight="1">
      <c r="A12" s="9">
        <v>15.407</v>
      </c>
      <c r="B12" s="2">
        <v>14</v>
      </c>
    </row>
    <row r="13" spans="1:5" ht="15.75" customHeight="1">
      <c r="A13" s="9">
        <v>23.1</v>
      </c>
      <c r="B13" s="2">
        <v>11</v>
      </c>
    </row>
    <row r="14" spans="1:5" ht="15.75" customHeight="1">
      <c r="A14" s="9">
        <v>23.335999999999999</v>
      </c>
      <c r="B14" s="2">
        <v>8</v>
      </c>
    </row>
    <row r="15" spans="1:5" ht="15.75" customHeight="1">
      <c r="A15" s="9">
        <v>30.03</v>
      </c>
    </row>
    <row r="16" spans="1:5" ht="15.75" customHeight="1">
      <c r="A16" s="9">
        <v>41.100200000000001</v>
      </c>
      <c r="B16" s="2">
        <v>5</v>
      </c>
    </row>
    <row r="17" spans="1:2" ht="15.75" customHeight="1">
      <c r="A17" s="9">
        <v>42.2</v>
      </c>
      <c r="B17" s="2">
        <v>5</v>
      </c>
    </row>
    <row r="18" spans="1:2" ht="15.75" customHeight="1">
      <c r="A18" s="9">
        <v>49.051000000000002</v>
      </c>
      <c r="B18" s="2">
        <v>8</v>
      </c>
    </row>
    <row r="19" spans="1:2" ht="15.75" customHeight="1">
      <c r="A19" s="9">
        <v>66.051000000000002</v>
      </c>
      <c r="B19" s="2">
        <v>2</v>
      </c>
    </row>
    <row r="20" spans="1:2" ht="15.75" customHeight="1">
      <c r="A20" s="9">
        <v>66.2</v>
      </c>
      <c r="B20" s="2">
        <v>7</v>
      </c>
    </row>
    <row r="21" spans="1:2" ht="15.75" customHeight="1">
      <c r="A21" s="9">
        <v>68.054000000000002</v>
      </c>
      <c r="B21" s="2">
        <v>8</v>
      </c>
    </row>
    <row r="22" spans="1:2" ht="15.75" customHeight="1">
      <c r="A22" s="9">
        <v>68.212000000000003</v>
      </c>
      <c r="B22" s="2">
        <v>7</v>
      </c>
    </row>
    <row r="23" spans="1:2" ht="15.75" customHeight="1">
      <c r="A23" s="9">
        <v>71.206000000000003</v>
      </c>
      <c r="B23" s="2">
        <v>12</v>
      </c>
    </row>
    <row r="24" spans="1:2" ht="15.75" customHeight="1">
      <c r="A24" s="9">
        <v>78.281000000000006</v>
      </c>
      <c r="B24" s="2">
        <v>8</v>
      </c>
    </row>
    <row r="25" spans="1:2" ht="15.75" customHeight="1">
      <c r="A25" s="9">
        <v>79.203999999999994</v>
      </c>
      <c r="B25" s="2">
        <v>0</v>
      </c>
    </row>
    <row r="26" spans="1:2" ht="15.75" customHeight="1">
      <c r="A26" s="9">
        <v>87.117000000000004</v>
      </c>
      <c r="B26" s="2">
        <v>0</v>
      </c>
    </row>
    <row r="27" spans="1:2" ht="15.75" customHeight="1">
      <c r="A27" s="9">
        <v>87.198999999999998</v>
      </c>
      <c r="B27" s="2">
        <v>13</v>
      </c>
    </row>
    <row r="28" spans="1:2" ht="15.75" customHeight="1">
      <c r="A28" s="9">
        <v>92.15</v>
      </c>
      <c r="B28" s="2">
        <v>0</v>
      </c>
    </row>
    <row r="29" spans="1:2" ht="15.75" customHeight="1">
      <c r="A29" s="9">
        <v>93.11</v>
      </c>
      <c r="B29" s="2">
        <v>15</v>
      </c>
    </row>
    <row r="30" spans="1:2" ht="15.75" customHeight="1">
      <c r="A30" s="10"/>
    </row>
    <row r="31" spans="1:2" ht="15.75" customHeight="1">
      <c r="A31" s="10"/>
    </row>
    <row r="32" spans="1:2" ht="15.75" customHeight="1">
      <c r="A32" s="10"/>
    </row>
    <row r="33" spans="1:1" ht="15.75" customHeight="1">
      <c r="A3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5"/>
  <sheetViews>
    <sheetView workbookViewId="0"/>
  </sheetViews>
  <sheetFormatPr baseColWidth="10" defaultColWidth="12.6640625" defaultRowHeight="15.75" customHeight="1"/>
  <cols>
    <col min="2" max="2" width="14.33203125" customWidth="1"/>
    <col min="4" max="4" width="17.5" customWidth="1"/>
    <col min="7" max="7" width="13.33203125" customWidth="1"/>
  </cols>
  <sheetData>
    <row r="1" spans="1:14" ht="15.75" customHeight="1">
      <c r="A1" s="11" t="s">
        <v>102</v>
      </c>
      <c r="B1" s="11"/>
      <c r="C1" s="11"/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</row>
    <row r="2" spans="1:14" ht="15.75" customHeight="1">
      <c r="A2" s="2" t="s">
        <v>109</v>
      </c>
      <c r="B2" s="2" t="s">
        <v>110</v>
      </c>
      <c r="C2" s="2" t="s">
        <v>111</v>
      </c>
      <c r="D2" s="2" t="s">
        <v>112</v>
      </c>
      <c r="E2" s="12">
        <v>46204</v>
      </c>
      <c r="F2" s="12">
        <v>46205</v>
      </c>
      <c r="G2" s="12">
        <v>46205</v>
      </c>
      <c r="H2" s="12">
        <v>46206</v>
      </c>
      <c r="I2" s="12">
        <v>46205</v>
      </c>
      <c r="J2" s="12"/>
      <c r="K2" s="12"/>
      <c r="L2" s="12"/>
      <c r="M2" s="12"/>
      <c r="N2" s="12"/>
    </row>
    <row r="3" spans="1:14" ht="15.75" customHeight="1">
      <c r="A3" s="3" t="s">
        <v>7</v>
      </c>
      <c r="B3" s="3" t="s">
        <v>8</v>
      </c>
      <c r="C3" s="4">
        <v>34</v>
      </c>
      <c r="D3" s="2">
        <f t="shared" ref="D3:D25" si="0">C3-E3-F3-G3-H3-I3-J3-K3-L3-M3-N3-O3-P3-Q3-R3-S3-T3-U3-V3</f>
        <v>12</v>
      </c>
      <c r="E3" s="2">
        <v>1</v>
      </c>
      <c r="F3" s="2">
        <v>1</v>
      </c>
      <c r="G3" s="2">
        <v>8</v>
      </c>
      <c r="H3" s="2">
        <v>8</v>
      </c>
      <c r="I3" s="2">
        <v>4</v>
      </c>
    </row>
    <row r="4" spans="1:14" ht="15.75" customHeight="1">
      <c r="A4" s="3" t="s">
        <v>7</v>
      </c>
      <c r="B4" s="3" t="s">
        <v>9</v>
      </c>
      <c r="C4" s="4">
        <v>12</v>
      </c>
      <c r="D4" s="2">
        <f t="shared" si="0"/>
        <v>7</v>
      </c>
      <c r="G4" s="2">
        <v>4</v>
      </c>
      <c r="H4" s="2">
        <v>1</v>
      </c>
    </row>
    <row r="5" spans="1:14" ht="15.75" customHeight="1">
      <c r="A5" s="3" t="s">
        <v>7</v>
      </c>
      <c r="B5" s="3" t="s">
        <v>10</v>
      </c>
      <c r="C5" s="4">
        <v>3</v>
      </c>
      <c r="D5" s="2">
        <f t="shared" si="0"/>
        <v>-13</v>
      </c>
      <c r="E5" s="2">
        <v>1</v>
      </c>
      <c r="F5" s="2">
        <v>2</v>
      </c>
      <c r="G5" s="2">
        <v>8</v>
      </c>
      <c r="H5" s="2">
        <v>4</v>
      </c>
      <c r="I5" s="2">
        <v>1</v>
      </c>
    </row>
    <row r="6" spans="1:14" ht="15.75" customHeight="1">
      <c r="A6" s="3" t="s">
        <v>7</v>
      </c>
      <c r="B6" s="3" t="s">
        <v>11</v>
      </c>
      <c r="C6" s="4">
        <v>1</v>
      </c>
      <c r="D6" s="2">
        <f t="shared" si="0"/>
        <v>-2</v>
      </c>
      <c r="H6" s="2">
        <v>3</v>
      </c>
    </row>
    <row r="7" spans="1:14" ht="15.75" customHeight="1">
      <c r="A7" s="3" t="s">
        <v>7</v>
      </c>
      <c r="B7" s="3" t="s">
        <v>12</v>
      </c>
      <c r="C7" s="4">
        <v>19</v>
      </c>
      <c r="D7" s="2">
        <f t="shared" si="0"/>
        <v>17</v>
      </c>
      <c r="F7" s="2">
        <v>1</v>
      </c>
      <c r="H7" s="2">
        <v>1</v>
      </c>
    </row>
    <row r="8" spans="1:14" ht="15.75" customHeight="1">
      <c r="A8" s="3" t="s">
        <v>7</v>
      </c>
      <c r="B8" s="3" t="s">
        <v>14</v>
      </c>
      <c r="C8" s="4">
        <v>2</v>
      </c>
      <c r="D8" s="2">
        <f t="shared" si="0"/>
        <v>2</v>
      </c>
    </row>
    <row r="9" spans="1:14" ht="15.75" customHeight="1">
      <c r="A9" s="3" t="s">
        <v>7</v>
      </c>
      <c r="B9" s="3" t="s">
        <v>13</v>
      </c>
      <c r="C9" s="4">
        <v>23</v>
      </c>
      <c r="D9" s="2">
        <f t="shared" si="0"/>
        <v>18</v>
      </c>
      <c r="E9" s="2">
        <v>1</v>
      </c>
      <c r="H9" s="2">
        <v>4</v>
      </c>
    </row>
    <row r="10" spans="1:14" ht="15.75" customHeight="1">
      <c r="A10" s="3" t="s">
        <v>7</v>
      </c>
      <c r="B10" s="3" t="s">
        <v>17</v>
      </c>
      <c r="C10" s="4">
        <v>2</v>
      </c>
      <c r="D10" s="2">
        <f t="shared" si="0"/>
        <v>1</v>
      </c>
      <c r="H10" s="2">
        <v>1</v>
      </c>
    </row>
    <row r="11" spans="1:14" ht="15.75" customHeight="1">
      <c r="A11" s="3" t="s">
        <v>7</v>
      </c>
      <c r="B11" s="3" t="s">
        <v>15</v>
      </c>
      <c r="C11" s="4">
        <v>34</v>
      </c>
      <c r="D11" s="2">
        <f t="shared" si="0"/>
        <v>26</v>
      </c>
      <c r="G11" s="2">
        <v>4</v>
      </c>
      <c r="H11" s="2">
        <v>4</v>
      </c>
    </row>
    <row r="12" spans="1:14" ht="15.75" customHeight="1">
      <c r="A12" s="3" t="s">
        <v>7</v>
      </c>
      <c r="B12" s="3" t="s">
        <v>16</v>
      </c>
      <c r="C12" s="4">
        <v>38</v>
      </c>
      <c r="D12" s="2">
        <f t="shared" si="0"/>
        <v>25</v>
      </c>
      <c r="E12" s="2">
        <v>1</v>
      </c>
      <c r="G12" s="2">
        <v>8</v>
      </c>
      <c r="H12" s="2">
        <v>4</v>
      </c>
    </row>
    <row r="13" spans="1:14" ht="15.75" customHeight="1">
      <c r="A13" s="3" t="s">
        <v>7</v>
      </c>
      <c r="B13" s="3" t="s">
        <v>18</v>
      </c>
      <c r="C13" s="4">
        <v>63</v>
      </c>
      <c r="D13" s="2">
        <f t="shared" si="0"/>
        <v>59</v>
      </c>
      <c r="H13" s="2">
        <v>4</v>
      </c>
    </row>
    <row r="14" spans="1:14" ht="15.75" customHeight="1">
      <c r="A14" s="3" t="s">
        <v>7</v>
      </c>
      <c r="B14" s="3" t="s">
        <v>22</v>
      </c>
      <c r="C14" s="4">
        <v>16</v>
      </c>
      <c r="D14" s="2">
        <f t="shared" si="0"/>
        <v>14</v>
      </c>
      <c r="H14" s="2">
        <v>2</v>
      </c>
    </row>
    <row r="15" spans="1:14" ht="15.75" customHeight="1">
      <c r="A15" s="3" t="s">
        <v>7</v>
      </c>
      <c r="B15" s="3" t="s">
        <v>19</v>
      </c>
      <c r="C15" s="4">
        <v>21</v>
      </c>
      <c r="D15" s="2">
        <f t="shared" si="0"/>
        <v>17</v>
      </c>
      <c r="H15" s="2">
        <v>4</v>
      </c>
    </row>
    <row r="16" spans="1:14" ht="15.75" customHeight="1">
      <c r="A16" s="3" t="s">
        <v>7</v>
      </c>
      <c r="B16" s="3" t="s">
        <v>21</v>
      </c>
      <c r="C16" s="4">
        <v>0</v>
      </c>
      <c r="D16" s="2">
        <f t="shared" si="0"/>
        <v>-1</v>
      </c>
      <c r="H16" s="2">
        <v>1</v>
      </c>
    </row>
    <row r="17" spans="1:8" ht="15.75" customHeight="1">
      <c r="A17" s="3" t="s">
        <v>7</v>
      </c>
      <c r="B17" s="3" t="s">
        <v>23</v>
      </c>
      <c r="C17" s="4">
        <v>13</v>
      </c>
      <c r="D17" s="2">
        <f t="shared" si="0"/>
        <v>13</v>
      </c>
    </row>
    <row r="18" spans="1:8" ht="15.75" customHeight="1">
      <c r="A18" s="3" t="s">
        <v>7</v>
      </c>
      <c r="B18" s="3" t="s">
        <v>24</v>
      </c>
      <c r="C18" s="4">
        <v>7</v>
      </c>
      <c r="D18" s="2">
        <f t="shared" si="0"/>
        <v>2</v>
      </c>
      <c r="F18" s="2">
        <v>1</v>
      </c>
      <c r="H18" s="2">
        <v>4</v>
      </c>
    </row>
    <row r="19" spans="1:8" ht="15.75" customHeight="1">
      <c r="A19" s="3" t="s">
        <v>25</v>
      </c>
      <c r="B19" s="3" t="s">
        <v>26</v>
      </c>
      <c r="C19" s="4">
        <v>31</v>
      </c>
      <c r="D19" s="2">
        <f t="shared" si="0"/>
        <v>30</v>
      </c>
      <c r="F19" s="2">
        <v>1</v>
      </c>
    </row>
    <row r="20" spans="1:8" ht="15.75" customHeight="1">
      <c r="A20" s="3" t="s">
        <v>25</v>
      </c>
      <c r="B20" s="3" t="s">
        <v>18</v>
      </c>
      <c r="C20" s="4">
        <v>4</v>
      </c>
      <c r="D20" s="2">
        <f t="shared" si="0"/>
        <v>3</v>
      </c>
      <c r="F20" s="2">
        <v>1</v>
      </c>
    </row>
    <row r="21" spans="1:8" ht="15.75" customHeight="1">
      <c r="A21" s="3" t="s">
        <v>25</v>
      </c>
      <c r="B21" s="3" t="s">
        <v>27</v>
      </c>
      <c r="C21" s="4">
        <v>17</v>
      </c>
      <c r="D21" s="2">
        <f t="shared" si="0"/>
        <v>17</v>
      </c>
    </row>
    <row r="22" spans="1:8" ht="15.75" customHeight="1">
      <c r="A22" s="3" t="s">
        <v>25</v>
      </c>
      <c r="B22" s="3" t="s">
        <v>28</v>
      </c>
      <c r="C22" s="4">
        <v>32</v>
      </c>
      <c r="D22" s="2">
        <f t="shared" si="0"/>
        <v>30</v>
      </c>
      <c r="F22" s="2">
        <v>2</v>
      </c>
    </row>
    <row r="23" spans="1:8" ht="15.75" customHeight="1">
      <c r="A23" s="3" t="s">
        <v>29</v>
      </c>
      <c r="B23" s="3" t="s">
        <v>8</v>
      </c>
      <c r="C23" s="5">
        <v>132</v>
      </c>
      <c r="D23" s="2">
        <f t="shared" si="0"/>
        <v>132</v>
      </c>
    </row>
    <row r="24" spans="1:8" ht="15.75" customHeight="1">
      <c r="A24" s="3" t="s">
        <v>29</v>
      </c>
      <c r="B24" s="3" t="s">
        <v>19</v>
      </c>
      <c r="C24" s="5">
        <v>122</v>
      </c>
      <c r="D24" s="2">
        <f t="shared" si="0"/>
        <v>122</v>
      </c>
    </row>
    <row r="25" spans="1:8" ht="15.75" customHeight="1">
      <c r="A25" s="3" t="s">
        <v>29</v>
      </c>
      <c r="B25" s="3" t="s">
        <v>24</v>
      </c>
      <c r="C25" s="5">
        <v>132</v>
      </c>
      <c r="D25" s="2">
        <f t="shared" si="0"/>
        <v>132</v>
      </c>
    </row>
  </sheetData>
  <conditionalFormatting sqref="C3:C25">
    <cfRule type="expression" dxfId="5" priority="1">
      <formula>$C3&lt;$D3</formula>
    </cfRule>
    <cfRule type="expression" dxfId="4" priority="2">
      <formula>AND($C3&gt;=$D3,$C3&lt;$E3)</formula>
    </cfRule>
    <cfRule type="expression" dxfId="3" priority="3">
      <formula>$C3&gt;=$E3</formula>
    </cfRule>
  </conditionalFormatting>
  <conditionalFormatting sqref="D3:D25">
    <cfRule type="cellIs" dxfId="2" priority="4" operator="lessThan">
      <formula>0</formula>
    </cfRule>
    <cfRule type="cellIs" dxfId="1" priority="5" operator="greaterThan">
      <formula>0</formula>
    </cfRule>
    <cfRule type="cellIs" dxfId="0" priority="6" operator="equal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Tracker</vt:lpstr>
      <vt:lpstr>Materials Tracker</vt:lpstr>
      <vt:lpstr>Ingredient Tacker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Polly's Pop</cp:lastModifiedBy>
  <dcterms:modified xsi:type="dcterms:W3CDTF">2026-06-30T20:17:58Z</dcterms:modified>
</cp:coreProperties>
</file>